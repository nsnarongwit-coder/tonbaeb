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1. tonbaeb.com\Phase 1\"/>
    </mc:Choice>
  </mc:AlternateContent>
  <xr:revisionPtr revIDLastSave="0" documentId="8_{7611E555-A5F3-4353-8121-10241B897E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KPIs" sheetId="1" r:id="rId1"/>
    <sheet name="2.Competency" sheetId="2" r:id="rId2"/>
    <sheet name="3.สรุปผลงานประจำปี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8" i="2" l="1"/>
  <c r="E9" i="3" s="1"/>
  <c r="C28" i="2"/>
  <c r="D9" i="3" s="1"/>
  <c r="F23" i="2"/>
  <c r="E23" i="2"/>
  <c r="F18" i="2"/>
  <c r="E18" i="2"/>
  <c r="F13" i="2"/>
  <c r="E13" i="2"/>
  <c r="F8" i="2"/>
  <c r="F28" i="2" s="1"/>
  <c r="F9" i="3" s="1"/>
  <c r="E8" i="2"/>
  <c r="C13" i="1"/>
  <c r="D8" i="3" s="1"/>
  <c r="D10" i="3" s="1"/>
  <c r="M12" i="1"/>
  <c r="L12" i="1"/>
  <c r="M11" i="1"/>
  <c r="L11" i="1"/>
  <c r="M10" i="1"/>
  <c r="L10" i="1"/>
  <c r="M9" i="1"/>
  <c r="L9" i="1"/>
  <c r="L13" i="1" s="1"/>
  <c r="E8" i="3" s="1"/>
  <c r="G9" i="3" l="1"/>
  <c r="M13" i="1"/>
  <c r="F8" i="3" s="1"/>
  <c r="F10" i="3" s="1"/>
  <c r="E10" i="3"/>
  <c r="G10" i="3" l="1"/>
  <c r="F12" i="3" s="1"/>
  <c r="G8" i="3"/>
  <c r="D12" i="3" l="1"/>
</calcChain>
</file>

<file path=xl/sharedStrings.xml><?xml version="1.0" encoding="utf-8"?>
<sst xmlns="http://schemas.openxmlformats.org/spreadsheetml/2006/main" count="143" uniqueCount="122">
  <si>
    <t>ชื่อผู้รับการประเมิน</t>
  </si>
  <si>
    <t>ตำแหน่ง</t>
  </si>
  <si>
    <t>หน่วยงาน</t>
  </si>
  <si>
    <t>ผู้ประเมิน</t>
  </si>
  <si>
    <t>ตัวชี้วัดผลงาน (KPIs)</t>
  </si>
  <si>
    <t>น้ำหนัก
คะแนน</t>
  </si>
  <si>
    <t>เป้าหมาย</t>
  </si>
  <si>
    <t>เกณฑ์การให้เกรดของผลงาน</t>
  </si>
  <si>
    <t>ผลงานจริง</t>
  </si>
  <si>
    <t>เกรด
ที่ได้</t>
  </si>
  <si>
    <t>คะแนน
เต็ม</t>
  </si>
  <si>
    <t>คะแนน
ที่ได้</t>
  </si>
  <si>
    <t>C
1</t>
  </si>
  <si>
    <t>B
2</t>
  </si>
  <si>
    <t>A
3</t>
  </si>
  <si>
    <t>A+
4</t>
  </si>
  <si>
    <t>AA
5</t>
  </si>
  <si>
    <t>รวมคะแนน KPIs</t>
  </si>
  <si>
    <t>หมายเหตุ : กรอกเฉพาะช่องสีเหลือง (ผลงานจริง และเกรดที่ได้ 1–5) คะแนนจะคำนวณอัตโนมัติ</t>
  </si>
  <si>
    <t>หัวข้อ Competency และพฤติกรรมที่คาดหวัง</t>
  </si>
  <si>
    <t>หลักฐาน / ตัวอย่างผลงานประกอบการประเมิน</t>
  </si>
  <si>
    <t>รวมคะแนน Competency</t>
  </si>
  <si>
    <t>เกณฑ์การประเมิน Competency / พฤติกรรมการทำงาน (ระดับ 1–5)</t>
  </si>
  <si>
    <t>1 = ไม่ผ่านทุกข้อหรือเกือบทั้งหมด</t>
  </si>
  <si>
    <t>2 = ไม่ผ่านบางข้อ</t>
  </si>
  <si>
    <t>3 = ผ่านทุกข้อที่ระบุไว้</t>
  </si>
  <si>
    <t>4 = ผ่านทุกข้อและบางข้อดีกว่าที่คาดหวัง (มีหลักฐานหรือผลงานประกอบ)</t>
  </si>
  <si>
    <t>5 = ผ่านทุกข้อและทุกข้อดีกว่าที่คาดหวัง (ต้องมีหลักฐานหรือผลงานประกอบ)</t>
  </si>
  <si>
    <t>หมายเหตุ : กรอกเฉพาะช่องสีเหลือง (ระดับที่ได้ 1–5 และหลักฐานประกอบ) คะแนนจะคำนวณอัตโนมัติ</t>
  </si>
  <si>
    <t>สรุปผลการประเมินผลงานประจำปี</t>
  </si>
  <si>
    <t>ส่วนการประเมิน</t>
  </si>
  <si>
    <t>น้ำหนักคะแนน</t>
  </si>
  <si>
    <t>คะแนนเต็ม</t>
  </si>
  <si>
    <t>คะแนนที่ได้</t>
  </si>
  <si>
    <t>% ที่ได้</t>
  </si>
  <si>
    <t>ส่วนที่ 1 : ผลงานตามตัวชี้วัด KPIs</t>
  </si>
  <si>
    <t>ส่วนที่ 2 : Competency / พฤติกรรมการทำงาน</t>
  </si>
  <si>
    <t>รวมคะแนนประเมินผลงานประจำปี</t>
  </si>
  <si>
    <t>เกรดผลงานประจำปีที่ได้</t>
  </si>
  <si>
    <t>ตารางสรุปเกรดผลงานประจำปี</t>
  </si>
  <si>
    <t>AA</t>
  </si>
  <si>
    <t>&gt; 95%</t>
  </si>
  <si>
    <t>ผลงานโดยรวมสูงกว่าเป้าหมายมาก</t>
  </si>
  <si>
    <t>A+</t>
  </si>
  <si>
    <t>85 – 95%</t>
  </si>
  <si>
    <t>ผลงานโดยรวมสูงกว่าเป้าหมาย</t>
  </si>
  <si>
    <t>A</t>
  </si>
  <si>
    <t>70 – 85%</t>
  </si>
  <si>
    <t>ผลงานโดยรวมเป็นไปตามเป้าหมาย</t>
  </si>
  <si>
    <t>B</t>
  </si>
  <si>
    <t>50 – 70%</t>
  </si>
  <si>
    <t>ผลงานโดยรวมต่ำกว่าเป้าหมาย</t>
  </si>
  <si>
    <t>C</t>
  </si>
  <si>
    <t>&lt; 50%</t>
  </si>
  <si>
    <t>ผลงานโดยรวมไม่เป็นไปตามเป้าหมาย</t>
  </si>
  <si>
    <t>บันทึกการพูดคุยผลการประเมิน (Performance Dialogue)</t>
  </si>
  <si>
    <t>1. จุดเด่นของผลงานในปีนี้</t>
  </si>
  <si>
    <t>2. สิ่งที่ควรปรับปรุงหรือพัฒนา</t>
  </si>
  <si>
    <t>3. แผนพัฒนา / เป้าหมายที่ตกลงร่วมกันสำหรับปีถัดไป</t>
  </si>
  <si>
    <t>4. ความคิดเห็นเพิ่มเติมของผู้รับการประเมิน</t>
  </si>
  <si>
    <t>ลงชื่อ ................................................... ผู้รับการประเมิน</t>
  </si>
  <si>
    <t>ลงชื่อ ................................................... ผู้ประเมิน</t>
  </si>
  <si>
    <t>วันที่ ........./........./.........</t>
  </si>
  <si>
    <t>ส่วนที่ 1 : การประเมินผลงานตามตัวชี้วัด KPIs (น้ำหนัก 80 คะแนน)</t>
  </si>
  <si>
    <t>บริษัท หล่อทองโลหะการ จำกัด  •  ใบประเมินผลงานประจำปี 2569</t>
  </si>
  <si>
    <t>ผู้จัดการฝ่ายหลอมและเทน้ำโลหะ (Melting &amp; Pouring Manager)</t>
  </si>
  <si>
    <t>ฝ่ายหลอมและเทน้ำโลหะ (Melting &amp; Pouring)</t>
  </si>
  <si>
    <t>ปริมาณน้ำโลหะที่หลอมได้เทียบแผนรายเดือน (เป้า 24,000 ตัน/ปี)</t>
  </si>
  <si>
    <t>≥ 95%</t>
  </si>
  <si>
    <t>&lt; 82%</t>
  </si>
  <si>
    <t>82 – 88%</t>
  </si>
  <si>
    <t>89 – 95%</t>
  </si>
  <si>
    <t>96 – 98%</t>
  </si>
  <si>
    <t>&gt; 98%</t>
  </si>
  <si>
    <t>% รุ่นหลอมที่ส่วนผสมทางเคมีตรงสเปคเกรดโลหะในครั้งแรก (จากผล Spectrometer)</t>
  </si>
  <si>
    <t>≥ 98%</t>
  </si>
  <si>
    <t>&lt; 90%</t>
  </si>
  <si>
    <t>90 – 93%</t>
  </si>
  <si>
    <t>94 – 98%</t>
  </si>
  <si>
    <t>98.1 – 99%</t>
  </si>
  <si>
    <t>&gt; 99%</t>
  </si>
  <si>
    <t>การใช้พลังงานไฟฟ้าต่อตันน้ำโลหะ (kWh/ตัน) เทียบมาตรฐาน</t>
  </si>
  <si>
    <t>≤ มาตรฐาน</t>
  </si>
  <si>
    <t>เกิน &gt; 8%</t>
  </si>
  <si>
    <t>เกิน 4 – 8%</t>
  </si>
  <si>
    <t>±4%</t>
  </si>
  <si>
    <t>ต่ำกว่า 4 – 8%</t>
  </si>
  <si>
    <t>ต่ำกว่า &gt; 8%</t>
  </si>
  <si>
    <t>อัตราการสูญเสียโลหะจากการหลอม-เท (Melt Loss) เทียบมาตรฐาน</t>
  </si>
  <si>
    <t>≤ 3%</t>
  </si>
  <si>
    <t>&gt; 6%</t>
  </si>
  <si>
    <t>4.6 – 6%</t>
  </si>
  <si>
    <t>3.1 – 4.5%</t>
  </si>
  <si>
    <t>2.5 – 3%</t>
  </si>
  <si>
    <t>&lt; 2.5%</t>
  </si>
  <si>
    <t>ส่วนที่ 2 : การประเมิน Competency / พฤติกรรมการทำงาน (น้ำหนัก 20 คะแนน)</t>
  </si>
  <si>
    <t>ภาวะผู้นำและการบริหารทีมงาน (Leadership &amp; Team Management)</t>
  </si>
  <si>
    <t>• กำหนดเป้าหมายและทิศทางการทำงานของฝ่ายให้ชัดเจนสอดคล้องกับกลยุทธ์องค์กร</t>
  </si>
  <si>
    <t>• สร้างบรรยากาศการทำงานที่ส่งเสริมความร่วมมือและผลงานของทีม</t>
  </si>
  <si>
    <t>• เป็นแบบอย่างที่ดีด้านผลงาน วินัย และจรรยาบรรณในการทำงาน</t>
  </si>
  <si>
    <t>• ตัดสินใจในสถานการณ์สำคัญได้อย่างเหมาะสมและรับผิดชอบต่อผลลัพธ์</t>
  </si>
  <si>
    <t>การคิดเชิงกลยุทธ์และการบริหารเป้าหมาย (Strategic Thinking &amp; Goal Management)</t>
  </si>
  <si>
    <t>• วิเคราะห์สภาพแวดล้อมอุตสาหกรรมชิ้นส่วนโลหะและตลาดลูกค้าที่กระทบต่องานของฝ่าย</t>
  </si>
  <si>
    <t>• แปลงกลยุทธ์องค์กรเป็นแผนงานและตัวชี้วัดของฝ่ายได้อย่างเป็นรูปธรรม</t>
  </si>
  <si>
    <t>• จัดลำดับความสำคัญและจัดสรรทรัพยากรให้เกิดผลลัพธ์สูงสุด</t>
  </si>
  <si>
    <t>• ทบทวนและปรับแผนได้ทันต่อสถานการณ์ที่เปลี่ยนแปลง</t>
  </si>
  <si>
    <t>ความเชี่ยวชาญหลอมและเทน้ำโลหะ (Melting &amp; Pouring Expertise)</t>
  </si>
  <si>
    <t>• ควบคุมเตาหลอมเหนี่ยวนำ (การจัดวัตถุดิบเข้าเตา/อุณหภูมิ/พลังงาน) อย่างมีประสิทธิภาพ</t>
  </si>
  <si>
    <t>• ปรุงส่วนผสมทางเคมีและเติมธาตุ (Inoculation/ปรับคาร์บอน-ซิลิคอน) ให้ตรงสเปคเกรดโลหะ</t>
  </si>
  <si>
    <t>• ควบคุมอุณหภูมิและเวลาการเทน้ำโลหะให้เหมาะกับชิ้นงานแต่ละแบบ</t>
  </si>
  <si>
    <t>• อ่านผลวิเคราะห์ส่วนผสม (Spectrometer) และปรับแก้น้ำโลหะได้ถูกต้องรวดเร็ว</t>
  </si>
  <si>
    <t>การพัฒนาทีมงานและผู้สืบทอดตำแหน่ง (People Development &amp; Succession)</t>
  </si>
  <si>
    <t>• ประเมินขีดความสามารถของทีมและวางแผนพัฒนารายบุคคล (IDP)</t>
  </si>
  <si>
    <t>• มอบหมายงานที่ท้าทายเพื่อพัฒนาศักยภาพของทีมงาน</t>
  </si>
  <si>
    <t>• ให้ Feedback อย่างสร้างสรรค์และสม่ำเสมอ</t>
  </si>
  <si>
    <t>• เตรียมผู้สืบทอดตำแหน่งงานสำคัญ (Successor) อย่างเป็นระบบ</t>
  </si>
  <si>
    <t>บริษัท หล่อทองโลหะการ จำกัด  •  ประจำปี 2569</t>
  </si>
  <si>
    <t>( คุณประทุมพร คงทนถาวร )</t>
  </si>
  <si>
    <t>( คุณจำลอง ประเสริฐกุล )</t>
  </si>
  <si>
    <t>คุณจำลอง ป. (ผู้ช่วยกรรมการผู้จัดการ สายงานโรงงาน)</t>
  </si>
  <si>
    <t>คุณพิชิต ส.</t>
  </si>
  <si>
    <t>ระดับที่ได้
(1–5)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</si>
</sst>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%"/>
  </numFmts>
  <fonts count="19">
    <font>
      <sz val="11"/>
      <name val="Carlito"/>
    </font>
    <font>
      <sz val="11"/>
      <color rgb="FF000000"/>
      <name val="Prompt"/>
    </font>
    <font>
      <b/>
      <sz val="18"/>
      <color rgb="FFFFFFFF"/>
      <name val="Prompt"/>
    </font>
    <font>
      <b/>
      <sz val="13"/>
      <color rgb="FF1F3864"/>
      <name val="Prompt"/>
    </font>
    <font>
      <b/>
      <sz val="11"/>
      <color rgb="FF000000"/>
      <name val="Prompt"/>
    </font>
    <font>
      <b/>
      <sz val="11"/>
      <color rgb="FFFFFFFF"/>
      <name val="Prompt"/>
    </font>
    <font>
      <sz val="10"/>
      <color rgb="FF000000"/>
      <name val="Prompt"/>
    </font>
    <font>
      <sz val="11"/>
      <color rgb="FFC00000"/>
      <name val="Prompt"/>
    </font>
    <font>
      <b/>
      <sz val="11"/>
      <color rgb="FFC00000"/>
      <name val="Prompt"/>
    </font>
    <font>
      <b/>
      <sz val="13"/>
      <color rgb="FFFFFFFF"/>
      <name val="Prompt"/>
    </font>
    <font>
      <i/>
      <sz val="10"/>
      <color rgb="FFC00000"/>
      <name val="Prompt"/>
    </font>
    <font>
      <b/>
      <sz val="12"/>
      <color rgb="FFFFFFFF"/>
      <name val="Prompt"/>
    </font>
    <font>
      <b/>
      <sz val="12"/>
      <color rgb="FFC00000"/>
      <name val="Prompt"/>
    </font>
    <font>
      <sz val="10"/>
      <color rgb="FFC00000"/>
      <name val="Prompt"/>
    </font>
    <font>
      <sz val="10"/>
      <color rgb="FF404040"/>
      <name val="Prompt"/>
    </font>
    <font>
      <b/>
      <sz val="16"/>
      <color rgb="FF1F3864"/>
      <name val="Prompt"/>
    </font>
    <font>
      <b/>
      <sz val="20"/>
      <color rgb="FF2E75B6"/>
      <name val="Prompt"/>
    </font>
    <font>
      <b/>
      <sz val="24"/>
      <color rgb="FFBF9000"/>
      <name val="Prompt"/>
    </font>
    <font>
      <b/>
      <sz val="11"/>
      <color rgb="FF1F3864"/>
      <name val="Prompt"/>
    </font>
  </fonts>
  <fills count="1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0000"/>
      </patternFill>
    </fill>
    <fill>
      <patternFill patternType="solid">
        <fgColor rgb="FFED7D31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00B050"/>
      </patternFill>
    </fill>
    <fill>
      <patternFill patternType="solid">
        <fgColor rgb="FFFFF2CC"/>
      </patternFill>
    </fill>
    <fill>
      <patternFill patternType="solid">
        <fgColor rgb="FFD6E4F0"/>
      </patternFill>
    </fill>
    <fill>
      <patternFill patternType="solid">
        <fgColor rgb="FFFBFCFE"/>
      </patternFill>
    </fill>
    <fill>
      <patternFill patternType="solid">
        <fgColor rgb="FFE2EFDA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7F8FA6"/>
      </left>
      <right/>
      <top style="thin">
        <color rgb="FF7F8FA6"/>
      </top>
      <bottom/>
      <diagonal/>
    </border>
    <border>
      <left/>
      <right/>
      <top style="thin">
        <color rgb="FF7F8FA6"/>
      </top>
      <bottom/>
      <diagonal/>
    </border>
    <border>
      <left/>
      <right style="thin">
        <color rgb="FF7F8FA6"/>
      </right>
      <top style="thin">
        <color rgb="FF7F8FA6"/>
      </top>
      <bottom/>
      <diagonal/>
    </border>
    <border>
      <left style="thin">
        <color rgb="FF7F8FA6"/>
      </left>
      <right/>
      <top/>
      <bottom/>
      <diagonal/>
    </border>
    <border>
      <left/>
      <right style="thin">
        <color rgb="FF7F8FA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5" fillId="9" borderId="7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left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left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12" fillId="10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11" fillId="4" borderId="15" xfId="0" applyFont="1" applyFill="1" applyBorder="1" applyAlignment="1">
      <alignment horizontal="center" vertical="center" wrapText="1"/>
    </xf>
    <xf numFmtId="187" fontId="1" fillId="0" borderId="15" xfId="0" applyNumberFormat="1" applyFont="1" applyBorder="1" applyAlignment="1">
      <alignment horizontal="center" vertical="center" wrapText="1"/>
    </xf>
    <xf numFmtId="187" fontId="9" fillId="2" borderId="15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7" fillId="10" borderId="19" xfId="0" applyFont="1" applyFill="1" applyBorder="1" applyAlignment="1">
      <alignment horizontal="left" vertical="center" wrapText="1"/>
    </xf>
    <xf numFmtId="0" fontId="8" fillId="10" borderId="1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4" fillId="12" borderId="7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3" fillId="10" borderId="7" xfId="0" applyFont="1" applyFill="1" applyBorder="1" applyAlignment="1">
      <alignment horizontal="left" vertical="top" wrapText="1"/>
    </xf>
    <xf numFmtId="0" fontId="6" fillId="0" borderId="20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left" vertical="top" wrapText="1"/>
    </xf>
    <xf numFmtId="0" fontId="6" fillId="10" borderId="7" xfId="0" applyFont="1" applyFill="1" applyBorder="1" applyAlignment="1">
      <alignment horizontal="left" vertical="top" wrapText="1"/>
    </xf>
    <xf numFmtId="0" fontId="6" fillId="10" borderId="15" xfId="0" applyFont="1" applyFill="1" applyBorder="1" applyAlignment="1">
      <alignment horizontal="left" vertical="top" wrapText="1"/>
    </xf>
    <xf numFmtId="0" fontId="18" fillId="11" borderId="14" xfId="0" applyFont="1" applyFill="1" applyBorder="1" applyAlignment="1">
      <alignment horizontal="left" vertical="center" wrapText="1"/>
    </xf>
    <xf numFmtId="0" fontId="18" fillId="11" borderId="7" xfId="0" applyFont="1" applyFill="1" applyBorder="1" applyAlignment="1">
      <alignment horizontal="left" vertical="center" wrapText="1"/>
    </xf>
    <xf numFmtId="0" fontId="18" fillId="11" borderId="15" xfId="0" applyFont="1" applyFill="1" applyBorder="1" applyAlignment="1">
      <alignment horizontal="left" vertical="center" wrapText="1"/>
    </xf>
    <xf numFmtId="0" fontId="6" fillId="3" borderId="7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187" fontId="16" fillId="13" borderId="7" xfId="0" applyNumberFormat="1" applyFont="1" applyFill="1" applyBorder="1" applyAlignment="1">
      <alignment horizontal="center" vertical="center" wrapText="1"/>
    </xf>
    <xf numFmtId="0" fontId="17" fillId="10" borderId="7" xfId="0" applyFont="1" applyFill="1" applyBorder="1" applyAlignment="1">
      <alignment horizontal="center" vertical="center" wrapText="1"/>
    </xf>
    <xf numFmtId="0" fontId="17" fillId="10" borderId="15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7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left" vertical="center" wrapText="1"/>
    </xf>
    <xf numFmtId="0" fontId="9" fillId="2" borderId="14" xfId="0" applyFont="1" applyFill="1" applyBorder="1" applyAlignment="1">
      <alignment horizontal="lef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1" fillId="0" borderId="15" xfId="0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showGridLines="0" tabSelected="1" workbookViewId="0">
      <selection activeCell="B24" sqref="B24"/>
    </sheetView>
  </sheetViews>
  <sheetFormatPr defaultRowHeight="14.25"/>
  <cols>
    <col min="1" max="1" width="8.75" customWidth="1"/>
    <col min="2" max="2" width="53.125" customWidth="1"/>
    <col min="3" max="3" width="14.25" customWidth="1"/>
    <col min="4" max="4" width="15" customWidth="1"/>
    <col min="5" max="5" width="12" customWidth="1"/>
    <col min="6" max="6" width="13" customWidth="1"/>
    <col min="7" max="7" width="13.625" customWidth="1"/>
    <col min="8" max="8" width="13" customWidth="1"/>
    <col min="9" max="9" width="14" customWidth="1"/>
    <col min="10" max="10" width="12" customWidth="1"/>
    <col min="11" max="11" width="8" customWidth="1"/>
    <col min="12" max="12" width="10" customWidth="1"/>
    <col min="13" max="13" width="13" customWidth="1"/>
  </cols>
  <sheetData>
    <row r="1" spans="1:13" ht="32.1" customHeight="1">
      <c r="A1" s="1"/>
      <c r="B1" s="45" t="s">
        <v>63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6"/>
    </row>
    <row r="2" spans="1:13" ht="24" customHeight="1">
      <c r="A2" s="2"/>
      <c r="B2" s="47" t="s">
        <v>64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8"/>
    </row>
    <row r="3" spans="1:13" ht="18" customHeight="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4"/>
    </row>
    <row r="4" spans="1:13" ht="24" customHeight="1">
      <c r="A4" s="2"/>
      <c r="B4" s="6" t="s">
        <v>0</v>
      </c>
      <c r="C4" s="49" t="s">
        <v>120</v>
      </c>
      <c r="D4" s="49"/>
      <c r="E4" s="49"/>
      <c r="F4" s="49"/>
      <c r="G4" s="6" t="s">
        <v>1</v>
      </c>
      <c r="H4" s="49" t="s">
        <v>65</v>
      </c>
      <c r="I4" s="49"/>
      <c r="J4" s="49"/>
      <c r="K4" s="49"/>
      <c r="L4" s="49"/>
      <c r="M4" s="49"/>
    </row>
    <row r="5" spans="1:13" ht="24" customHeight="1">
      <c r="A5" s="2"/>
      <c r="B5" s="6" t="s">
        <v>2</v>
      </c>
      <c r="C5" s="49" t="s">
        <v>66</v>
      </c>
      <c r="D5" s="49"/>
      <c r="E5" s="49"/>
      <c r="F5" s="49"/>
      <c r="G5" s="6" t="s">
        <v>3</v>
      </c>
      <c r="H5" s="49" t="s">
        <v>119</v>
      </c>
      <c r="I5" s="49"/>
      <c r="J5" s="49"/>
      <c r="K5" s="49"/>
      <c r="L5" s="49"/>
      <c r="M5" s="49"/>
    </row>
    <row r="6" spans="1:13" ht="18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4"/>
    </row>
    <row r="7" spans="1:13" ht="24" customHeight="1">
      <c r="A7" s="2"/>
      <c r="B7" s="43" t="s">
        <v>4</v>
      </c>
      <c r="C7" s="43" t="s">
        <v>5</v>
      </c>
      <c r="D7" s="43" t="s">
        <v>6</v>
      </c>
      <c r="E7" s="43" t="s">
        <v>7</v>
      </c>
      <c r="F7" s="43"/>
      <c r="G7" s="43"/>
      <c r="H7" s="43"/>
      <c r="I7" s="43"/>
      <c r="J7" s="43" t="s">
        <v>8</v>
      </c>
      <c r="K7" s="43" t="s">
        <v>9</v>
      </c>
      <c r="L7" s="43" t="s">
        <v>10</v>
      </c>
      <c r="M7" s="43" t="s">
        <v>11</v>
      </c>
    </row>
    <row r="8" spans="1:13" ht="38.25" customHeight="1">
      <c r="A8" s="2"/>
      <c r="B8" s="43"/>
      <c r="C8" s="43"/>
      <c r="D8" s="43"/>
      <c r="E8" s="8" t="s">
        <v>12</v>
      </c>
      <c r="F8" s="9" t="s">
        <v>13</v>
      </c>
      <c r="G8" s="10" t="s">
        <v>14</v>
      </c>
      <c r="H8" s="11" t="s">
        <v>15</v>
      </c>
      <c r="I8" s="12" t="s">
        <v>16</v>
      </c>
      <c r="J8" s="43"/>
      <c r="K8" s="43"/>
      <c r="L8" s="43"/>
      <c r="M8" s="43"/>
    </row>
    <row r="9" spans="1:13" ht="42" customHeight="1">
      <c r="A9" s="2"/>
      <c r="B9" s="7" t="s">
        <v>67</v>
      </c>
      <c r="C9" s="13">
        <v>25</v>
      </c>
      <c r="D9" s="13" t="s">
        <v>68</v>
      </c>
      <c r="E9" s="14" t="s">
        <v>69</v>
      </c>
      <c r="F9" s="14" t="s">
        <v>70</v>
      </c>
      <c r="G9" s="14" t="s">
        <v>71</v>
      </c>
      <c r="H9" s="14" t="s">
        <v>72</v>
      </c>
      <c r="I9" s="14" t="s">
        <v>73</v>
      </c>
      <c r="J9" s="15"/>
      <c r="K9" s="16">
        <v>5</v>
      </c>
      <c r="L9" s="13">
        <f>C9*5</f>
        <v>125</v>
      </c>
      <c r="M9" s="13">
        <f>IF(K9="",0,C9*K9)</f>
        <v>125</v>
      </c>
    </row>
    <row r="10" spans="1:13" ht="42" customHeight="1">
      <c r="A10" s="2"/>
      <c r="B10" s="7" t="s">
        <v>74</v>
      </c>
      <c r="C10" s="13">
        <v>25</v>
      </c>
      <c r="D10" s="13" t="s">
        <v>75</v>
      </c>
      <c r="E10" s="14" t="s">
        <v>76</v>
      </c>
      <c r="F10" s="14" t="s">
        <v>77</v>
      </c>
      <c r="G10" s="14" t="s">
        <v>78</v>
      </c>
      <c r="H10" s="14" t="s">
        <v>79</v>
      </c>
      <c r="I10" s="14" t="s">
        <v>80</v>
      </c>
      <c r="J10" s="15"/>
      <c r="K10" s="16">
        <v>5</v>
      </c>
      <c r="L10" s="13">
        <f>C10*5</f>
        <v>125</v>
      </c>
      <c r="M10" s="13">
        <f>IF(K10="",0,C10*K10)</f>
        <v>125</v>
      </c>
    </row>
    <row r="11" spans="1:13" ht="42" customHeight="1">
      <c r="A11" s="2"/>
      <c r="B11" s="7" t="s">
        <v>81</v>
      </c>
      <c r="C11" s="13">
        <v>15</v>
      </c>
      <c r="D11" s="13" t="s">
        <v>82</v>
      </c>
      <c r="E11" s="14" t="s">
        <v>83</v>
      </c>
      <c r="F11" s="14" t="s">
        <v>84</v>
      </c>
      <c r="G11" s="14" t="s">
        <v>85</v>
      </c>
      <c r="H11" s="14" t="s">
        <v>86</v>
      </c>
      <c r="I11" s="14" t="s">
        <v>87</v>
      </c>
      <c r="J11" s="15"/>
      <c r="K11" s="16">
        <v>3</v>
      </c>
      <c r="L11" s="13">
        <f>C11*5</f>
        <v>75</v>
      </c>
      <c r="M11" s="13">
        <f>IF(K11="",0,C11*K11)</f>
        <v>45</v>
      </c>
    </row>
    <row r="12" spans="1:13" ht="42" customHeight="1">
      <c r="A12" s="2"/>
      <c r="B12" s="35" t="s">
        <v>88</v>
      </c>
      <c r="C12" s="36">
        <v>15</v>
      </c>
      <c r="D12" s="36" t="s">
        <v>89</v>
      </c>
      <c r="E12" s="37" t="s">
        <v>90</v>
      </c>
      <c r="F12" s="37" t="s">
        <v>91</v>
      </c>
      <c r="G12" s="37" t="s">
        <v>92</v>
      </c>
      <c r="H12" s="37" t="s">
        <v>93</v>
      </c>
      <c r="I12" s="37" t="s">
        <v>94</v>
      </c>
      <c r="J12" s="38"/>
      <c r="K12" s="39">
        <v>5</v>
      </c>
      <c r="L12" s="36">
        <f>C12*5</f>
        <v>75</v>
      </c>
      <c r="M12" s="36">
        <f>IF(K12="",0,C12*K12)</f>
        <v>75</v>
      </c>
    </row>
    <row r="13" spans="1:13" ht="27.95" customHeight="1">
      <c r="A13" s="2"/>
      <c r="B13" s="40" t="s">
        <v>17</v>
      </c>
      <c r="C13" s="41">
        <f>SUM(C9:C12)</f>
        <v>80</v>
      </c>
      <c r="D13" s="41"/>
      <c r="E13" s="41"/>
      <c r="F13" s="41"/>
      <c r="G13" s="41"/>
      <c r="H13" s="41"/>
      <c r="I13" s="41"/>
      <c r="J13" s="41"/>
      <c r="K13" s="41"/>
      <c r="L13" s="41">
        <f>SUM(L9:L12)</f>
        <v>400</v>
      </c>
      <c r="M13" s="41">
        <f>SUM(M9:M12)</f>
        <v>370</v>
      </c>
    </row>
    <row r="14" spans="1:13" ht="18">
      <c r="A14" s="2"/>
      <c r="B14" s="44" t="s">
        <v>18</v>
      </c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</row>
  </sheetData>
  <mergeCells count="15">
    <mergeCell ref="B1:M1"/>
    <mergeCell ref="B2:M2"/>
    <mergeCell ref="C4:F4"/>
    <mergeCell ref="H4:M4"/>
    <mergeCell ref="C5:F5"/>
    <mergeCell ref="H5:M5"/>
    <mergeCell ref="K7:K8"/>
    <mergeCell ref="L7:L8"/>
    <mergeCell ref="M7:M8"/>
    <mergeCell ref="B14:M14"/>
    <mergeCell ref="B7:B8"/>
    <mergeCell ref="C7:C8"/>
    <mergeCell ref="D7:D8"/>
    <mergeCell ref="E7:I7"/>
    <mergeCell ref="J7:J8"/>
  </mergeCells>
  <dataValidations count="1">
    <dataValidation type="list" sqref="K9:K12" xr:uid="{00000000-0002-0000-0000-000000000000}">
      <formula1>"1,2,3,4,5"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showGridLines="0" workbookViewId="0">
      <selection activeCell="I1" sqref="I1"/>
    </sheetView>
  </sheetViews>
  <sheetFormatPr defaultRowHeight="14.25"/>
  <cols>
    <col min="1" max="1" width="8.75" customWidth="1"/>
    <col min="2" max="2" width="73.125" customWidth="1"/>
    <col min="3" max="3" width="10" customWidth="1"/>
    <col min="4" max="4" width="22.875" customWidth="1"/>
    <col min="5" max="5" width="16.375" customWidth="1"/>
    <col min="6" max="6" width="10" customWidth="1"/>
    <col min="7" max="7" width="38.75" customWidth="1"/>
  </cols>
  <sheetData>
    <row r="1" spans="1:7" ht="32.1" customHeight="1">
      <c r="A1" s="1"/>
      <c r="B1" s="45" t="s">
        <v>95</v>
      </c>
      <c r="C1" s="45"/>
      <c r="D1" s="45"/>
      <c r="E1" s="45"/>
      <c r="F1" s="45"/>
      <c r="G1" s="46"/>
    </row>
    <row r="2" spans="1:7" ht="24" customHeight="1">
      <c r="A2" s="2"/>
      <c r="B2" s="47" t="s">
        <v>64</v>
      </c>
      <c r="C2" s="47"/>
      <c r="D2" s="47"/>
      <c r="E2" s="47"/>
      <c r="F2" s="47"/>
      <c r="G2" s="48"/>
    </row>
    <row r="3" spans="1:7" ht="18" customHeight="1">
      <c r="A3" s="2"/>
      <c r="B3" s="3"/>
      <c r="C3" s="3"/>
      <c r="D3" s="3"/>
      <c r="E3" s="3"/>
      <c r="F3" s="3"/>
      <c r="G3" s="4"/>
    </row>
    <row r="4" spans="1:7" ht="42.75" customHeight="1">
      <c r="A4" s="2"/>
      <c r="B4" s="6" t="s">
        <v>0</v>
      </c>
      <c r="C4" s="49" t="s">
        <v>120</v>
      </c>
      <c r="D4" s="49"/>
      <c r="E4" s="6" t="s">
        <v>1</v>
      </c>
      <c r="F4" s="49" t="s">
        <v>65</v>
      </c>
      <c r="G4" s="49"/>
    </row>
    <row r="5" spans="1:7" ht="51.75" customHeight="1">
      <c r="A5" s="2"/>
      <c r="B5" s="6" t="s">
        <v>2</v>
      </c>
      <c r="C5" s="49" t="s">
        <v>66</v>
      </c>
      <c r="D5" s="49"/>
      <c r="E5" s="6" t="s">
        <v>3</v>
      </c>
      <c r="F5" s="49" t="s">
        <v>119</v>
      </c>
      <c r="G5" s="49"/>
    </row>
    <row r="6" spans="1:7" ht="18">
      <c r="A6" s="2"/>
      <c r="B6" s="3"/>
      <c r="C6" s="3"/>
      <c r="D6" s="3"/>
      <c r="E6" s="3"/>
      <c r="F6" s="3"/>
      <c r="G6" s="4"/>
    </row>
    <row r="7" spans="1:7" ht="48" customHeight="1">
      <c r="A7" s="2"/>
      <c r="B7" s="19" t="s">
        <v>19</v>
      </c>
      <c r="C7" s="19" t="s">
        <v>5</v>
      </c>
      <c r="D7" s="19" t="s">
        <v>121</v>
      </c>
      <c r="E7" s="19" t="s">
        <v>10</v>
      </c>
      <c r="F7" s="19" t="s">
        <v>11</v>
      </c>
      <c r="G7" s="19" t="s">
        <v>20</v>
      </c>
    </row>
    <row r="8" spans="1:7" ht="39.950000000000003" customHeight="1">
      <c r="A8" s="2"/>
      <c r="B8" s="20" t="s">
        <v>96</v>
      </c>
      <c r="C8" s="21">
        <v>5</v>
      </c>
      <c r="D8" s="22">
        <v>5</v>
      </c>
      <c r="E8" s="21">
        <f>C8*5</f>
        <v>25</v>
      </c>
      <c r="F8" s="21">
        <f>IF(D8="",0,C8*D8)</f>
        <v>25</v>
      </c>
      <c r="G8" s="50"/>
    </row>
    <row r="9" spans="1:7" ht="20.100000000000001" customHeight="1">
      <c r="A9" s="2"/>
      <c r="B9" s="42" t="s">
        <v>97</v>
      </c>
      <c r="C9" s="42"/>
      <c r="D9" s="42"/>
      <c r="E9" s="42"/>
      <c r="F9" s="42"/>
      <c r="G9" s="50"/>
    </row>
    <row r="10" spans="1:7" ht="20.100000000000001" customHeight="1">
      <c r="A10" s="2"/>
      <c r="B10" s="42" t="s">
        <v>98</v>
      </c>
      <c r="C10" s="42"/>
      <c r="D10" s="42"/>
      <c r="E10" s="42"/>
      <c r="F10" s="42"/>
      <c r="G10" s="50"/>
    </row>
    <row r="11" spans="1:7" ht="20.100000000000001" customHeight="1">
      <c r="A11" s="2"/>
      <c r="B11" s="42" t="s">
        <v>99</v>
      </c>
      <c r="C11" s="42"/>
      <c r="D11" s="42"/>
      <c r="E11" s="42"/>
      <c r="F11" s="42"/>
      <c r="G11" s="50"/>
    </row>
    <row r="12" spans="1:7" ht="20.100000000000001" customHeight="1">
      <c r="A12" s="2"/>
      <c r="B12" s="42" t="s">
        <v>100</v>
      </c>
      <c r="C12" s="42"/>
      <c r="D12" s="42"/>
      <c r="E12" s="42"/>
      <c r="F12" s="42"/>
      <c r="G12" s="50"/>
    </row>
    <row r="13" spans="1:7" ht="39.950000000000003" customHeight="1">
      <c r="A13" s="2"/>
      <c r="B13" s="20" t="s">
        <v>101</v>
      </c>
      <c r="C13" s="21">
        <v>5</v>
      </c>
      <c r="D13" s="22">
        <v>5</v>
      </c>
      <c r="E13" s="21">
        <f>C13*5</f>
        <v>25</v>
      </c>
      <c r="F13" s="21">
        <f>IF(D13="",0,C13*D13)</f>
        <v>25</v>
      </c>
      <c r="G13" s="50"/>
    </row>
    <row r="14" spans="1:7" ht="36" customHeight="1">
      <c r="A14" s="2"/>
      <c r="B14" s="42" t="s">
        <v>102</v>
      </c>
      <c r="C14" s="42"/>
      <c r="D14" s="42"/>
      <c r="E14" s="42"/>
      <c r="F14" s="42"/>
      <c r="G14" s="50"/>
    </row>
    <row r="15" spans="1:7" ht="20.100000000000001" customHeight="1">
      <c r="A15" s="2"/>
      <c r="B15" s="42" t="s">
        <v>103</v>
      </c>
      <c r="C15" s="42"/>
      <c r="D15" s="42"/>
      <c r="E15" s="42"/>
      <c r="F15" s="42"/>
      <c r="G15" s="50"/>
    </row>
    <row r="16" spans="1:7" ht="20.100000000000001" customHeight="1">
      <c r="A16" s="2"/>
      <c r="B16" s="42" t="s">
        <v>104</v>
      </c>
      <c r="C16" s="42"/>
      <c r="D16" s="42"/>
      <c r="E16" s="42"/>
      <c r="F16" s="42"/>
      <c r="G16" s="50"/>
    </row>
    <row r="17" spans="1:7" ht="20.100000000000001" customHeight="1">
      <c r="A17" s="2"/>
      <c r="B17" s="42" t="s">
        <v>105</v>
      </c>
      <c r="C17" s="42"/>
      <c r="D17" s="42"/>
      <c r="E17" s="42"/>
      <c r="F17" s="42"/>
      <c r="G17" s="50"/>
    </row>
    <row r="18" spans="1:7" ht="39.950000000000003" customHeight="1">
      <c r="A18" s="2"/>
      <c r="B18" s="20" t="s">
        <v>106</v>
      </c>
      <c r="C18" s="21">
        <v>5</v>
      </c>
      <c r="D18" s="22">
        <v>5</v>
      </c>
      <c r="E18" s="21">
        <f>C18*5</f>
        <v>25</v>
      </c>
      <c r="F18" s="21">
        <f>IF(D18="",0,C18*D18)</f>
        <v>25</v>
      </c>
      <c r="G18" s="50"/>
    </row>
    <row r="19" spans="1:7" ht="36" customHeight="1">
      <c r="A19" s="2"/>
      <c r="B19" s="42" t="s">
        <v>107</v>
      </c>
      <c r="C19" s="42"/>
      <c r="D19" s="42"/>
      <c r="E19" s="42"/>
      <c r="F19" s="42"/>
      <c r="G19" s="50"/>
    </row>
    <row r="20" spans="1:7" ht="36" customHeight="1">
      <c r="A20" s="2"/>
      <c r="B20" s="42" t="s">
        <v>108</v>
      </c>
      <c r="C20" s="42"/>
      <c r="D20" s="42"/>
      <c r="E20" s="42"/>
      <c r="F20" s="42"/>
      <c r="G20" s="50"/>
    </row>
    <row r="21" spans="1:7" ht="20.100000000000001" customHeight="1">
      <c r="A21" s="2"/>
      <c r="B21" s="42" t="s">
        <v>109</v>
      </c>
      <c r="C21" s="42"/>
      <c r="D21" s="42"/>
      <c r="E21" s="42"/>
      <c r="F21" s="42"/>
      <c r="G21" s="50"/>
    </row>
    <row r="22" spans="1:7" ht="20.100000000000001" customHeight="1">
      <c r="A22" s="2"/>
      <c r="B22" s="42" t="s">
        <v>110</v>
      </c>
      <c r="C22" s="42"/>
      <c r="D22" s="42"/>
      <c r="E22" s="42"/>
      <c r="F22" s="42"/>
      <c r="G22" s="50"/>
    </row>
    <row r="23" spans="1:7" ht="39.950000000000003" customHeight="1">
      <c r="A23" s="2"/>
      <c r="B23" s="20" t="s">
        <v>111</v>
      </c>
      <c r="C23" s="21">
        <v>5</v>
      </c>
      <c r="D23" s="22">
        <v>4</v>
      </c>
      <c r="E23" s="21">
        <f>C23*5</f>
        <v>25</v>
      </c>
      <c r="F23" s="21">
        <f>IF(D23="",0,C23*D23)</f>
        <v>20</v>
      </c>
      <c r="G23" s="50"/>
    </row>
    <row r="24" spans="1:7" ht="20.100000000000001" customHeight="1">
      <c r="A24" s="2"/>
      <c r="B24" s="42" t="s">
        <v>112</v>
      </c>
      <c r="C24" s="42"/>
      <c r="D24" s="42"/>
      <c r="E24" s="42"/>
      <c r="F24" s="42"/>
      <c r="G24" s="50"/>
    </row>
    <row r="25" spans="1:7" ht="20.100000000000001" customHeight="1">
      <c r="A25" s="2"/>
      <c r="B25" s="42" t="s">
        <v>113</v>
      </c>
      <c r="C25" s="42"/>
      <c r="D25" s="42"/>
      <c r="E25" s="42"/>
      <c r="F25" s="42"/>
      <c r="G25" s="50"/>
    </row>
    <row r="26" spans="1:7" ht="20.100000000000001" customHeight="1">
      <c r="A26" s="2"/>
      <c r="B26" s="42" t="s">
        <v>114</v>
      </c>
      <c r="C26" s="42"/>
      <c r="D26" s="42"/>
      <c r="E26" s="42"/>
      <c r="F26" s="42"/>
      <c r="G26" s="50"/>
    </row>
    <row r="27" spans="1:7" ht="20.100000000000001" customHeight="1">
      <c r="A27" s="2"/>
      <c r="B27" s="42" t="s">
        <v>115</v>
      </c>
      <c r="C27" s="42"/>
      <c r="D27" s="42"/>
      <c r="E27" s="42"/>
      <c r="F27" s="42"/>
      <c r="G27" s="50"/>
    </row>
    <row r="28" spans="1:7" ht="27.95" customHeight="1">
      <c r="A28" s="2"/>
      <c r="B28" s="17" t="s">
        <v>21</v>
      </c>
      <c r="C28" s="18">
        <f>SUM(C8,C13,C18,C23)</f>
        <v>20</v>
      </c>
      <c r="D28" s="18"/>
      <c r="E28" s="18">
        <f>SUM(E8,E13,E18,E23)</f>
        <v>100</v>
      </c>
      <c r="F28" s="18">
        <f>SUM(F8,F13,F18,F23)</f>
        <v>95</v>
      </c>
      <c r="G28" s="18"/>
    </row>
    <row r="29" spans="1:7" ht="18">
      <c r="A29" s="2"/>
      <c r="B29" s="3"/>
      <c r="C29" s="3"/>
      <c r="D29" s="3"/>
      <c r="E29" s="3"/>
      <c r="F29" s="3"/>
      <c r="G29" s="4"/>
    </row>
    <row r="30" spans="1:7" ht="24" customHeight="1">
      <c r="A30" s="2"/>
      <c r="B30" s="54" t="s">
        <v>22</v>
      </c>
      <c r="C30" s="54"/>
      <c r="D30" s="54"/>
      <c r="E30" s="54"/>
      <c r="F30" s="54"/>
      <c r="G30" s="54"/>
    </row>
    <row r="31" spans="1:7" ht="18" customHeight="1">
      <c r="A31" s="2"/>
      <c r="B31" s="55" t="s">
        <v>23</v>
      </c>
      <c r="C31" s="55"/>
      <c r="D31" s="55"/>
      <c r="E31" s="55"/>
      <c r="F31" s="55"/>
      <c r="G31" s="55"/>
    </row>
    <row r="32" spans="1:7" ht="18" customHeight="1">
      <c r="A32" s="2"/>
      <c r="B32" s="55" t="s">
        <v>24</v>
      </c>
      <c r="C32" s="55"/>
      <c r="D32" s="55"/>
      <c r="E32" s="55"/>
      <c r="F32" s="55"/>
      <c r="G32" s="55"/>
    </row>
    <row r="33" spans="1:7" ht="18" customHeight="1">
      <c r="A33" s="2"/>
      <c r="B33" s="55" t="s">
        <v>25</v>
      </c>
      <c r="C33" s="55"/>
      <c r="D33" s="55"/>
      <c r="E33" s="55"/>
      <c r="F33" s="55"/>
      <c r="G33" s="55"/>
    </row>
    <row r="34" spans="1:7" ht="18" customHeight="1">
      <c r="A34" s="2"/>
      <c r="B34" s="56" t="s">
        <v>26</v>
      </c>
      <c r="C34" s="56"/>
      <c r="D34" s="56"/>
      <c r="E34" s="56"/>
      <c r="F34" s="56"/>
      <c r="G34" s="56"/>
    </row>
    <row r="35" spans="1:7" ht="18" customHeight="1">
      <c r="A35" s="2"/>
      <c r="B35" s="51" t="s">
        <v>27</v>
      </c>
      <c r="C35" s="52"/>
      <c r="D35" s="52"/>
      <c r="E35" s="52"/>
      <c r="F35" s="52"/>
      <c r="G35" s="53"/>
    </row>
    <row r="36" spans="1:7" ht="21.75" customHeight="1">
      <c r="A36" s="2"/>
      <c r="B36" s="44" t="s">
        <v>28</v>
      </c>
      <c r="C36" s="44"/>
      <c r="D36" s="44"/>
      <c r="E36" s="44"/>
      <c r="F36" s="44"/>
      <c r="G36" s="44"/>
    </row>
  </sheetData>
  <mergeCells count="17">
    <mergeCell ref="B1:G1"/>
    <mergeCell ref="B2:G2"/>
    <mergeCell ref="C4:D4"/>
    <mergeCell ref="F4:G4"/>
    <mergeCell ref="C5:D5"/>
    <mergeCell ref="F5:G5"/>
    <mergeCell ref="G18:G22"/>
    <mergeCell ref="G23:G27"/>
    <mergeCell ref="B35:G35"/>
    <mergeCell ref="B36:G36"/>
    <mergeCell ref="G8:G12"/>
    <mergeCell ref="G13:G17"/>
    <mergeCell ref="B30:G30"/>
    <mergeCell ref="B31:G31"/>
    <mergeCell ref="B32:G32"/>
    <mergeCell ref="B33:G33"/>
    <mergeCell ref="B34:G34"/>
  </mergeCells>
  <dataValidations count="1">
    <dataValidation type="list" sqref="D8 D23 D18 D13" xr:uid="{00000000-0002-0000-0100-000000000000}">
      <formula1>"1,2,3,4,5"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3"/>
  <sheetViews>
    <sheetView showGridLines="0" workbookViewId="0">
      <selection activeCell="I1" sqref="I1"/>
    </sheetView>
  </sheetViews>
  <sheetFormatPr defaultRowHeight="14.25"/>
  <cols>
    <col min="1" max="1" width="8.75" customWidth="1"/>
    <col min="2" max="2" width="30" customWidth="1"/>
    <col min="3" max="3" width="33.625" customWidth="1"/>
    <col min="4" max="4" width="20.125" customWidth="1"/>
    <col min="5" max="5" width="17.625" customWidth="1"/>
    <col min="6" max="6" width="14" customWidth="1"/>
    <col min="7" max="7" width="40.375" customWidth="1"/>
  </cols>
  <sheetData>
    <row r="1" spans="1:7" ht="32.1" customHeight="1">
      <c r="A1" s="1"/>
      <c r="B1" s="86" t="s">
        <v>29</v>
      </c>
      <c r="C1" s="87"/>
      <c r="D1" s="87"/>
      <c r="E1" s="87"/>
      <c r="F1" s="87"/>
      <c r="G1" s="88"/>
    </row>
    <row r="2" spans="1:7" ht="24" customHeight="1">
      <c r="A2" s="2"/>
      <c r="B2" s="82" t="s">
        <v>116</v>
      </c>
      <c r="C2" s="83"/>
      <c r="D2" s="83"/>
      <c r="E2" s="83"/>
      <c r="F2" s="83"/>
      <c r="G2" s="84"/>
    </row>
    <row r="3" spans="1:7" ht="18" customHeight="1">
      <c r="A3" s="2"/>
      <c r="B3" s="24"/>
      <c r="C3" s="5"/>
      <c r="D3" s="5"/>
      <c r="E3" s="5"/>
      <c r="F3" s="5"/>
      <c r="G3" s="25"/>
    </row>
    <row r="4" spans="1:7" ht="36.75" customHeight="1">
      <c r="A4" s="2"/>
      <c r="B4" s="26" t="s">
        <v>0</v>
      </c>
      <c r="C4" s="49" t="s">
        <v>120</v>
      </c>
      <c r="D4" s="49"/>
      <c r="E4" s="6" t="s">
        <v>1</v>
      </c>
      <c r="F4" s="49" t="s">
        <v>65</v>
      </c>
      <c r="G4" s="85"/>
    </row>
    <row r="5" spans="1:7" ht="36.75" customHeight="1">
      <c r="A5" s="2"/>
      <c r="B5" s="26" t="s">
        <v>2</v>
      </c>
      <c r="C5" s="49" t="s">
        <v>66</v>
      </c>
      <c r="D5" s="49"/>
      <c r="E5" s="6" t="s">
        <v>3</v>
      </c>
      <c r="F5" s="49" t="s">
        <v>119</v>
      </c>
      <c r="G5" s="85"/>
    </row>
    <row r="6" spans="1:7" ht="36.75" customHeight="1">
      <c r="A6" s="2"/>
      <c r="B6" s="24"/>
      <c r="C6" s="5"/>
      <c r="D6" s="5"/>
      <c r="E6" s="5"/>
      <c r="F6" s="5"/>
      <c r="G6" s="25"/>
    </row>
    <row r="7" spans="1:7" ht="26.1" customHeight="1">
      <c r="A7" s="2"/>
      <c r="B7" s="74" t="s">
        <v>30</v>
      </c>
      <c r="C7" s="75"/>
      <c r="D7" s="19" t="s">
        <v>31</v>
      </c>
      <c r="E7" s="19" t="s">
        <v>32</v>
      </c>
      <c r="F7" s="19" t="s">
        <v>33</v>
      </c>
      <c r="G7" s="27" t="s">
        <v>34</v>
      </c>
    </row>
    <row r="8" spans="1:7" ht="26.1" customHeight="1">
      <c r="A8" s="2"/>
      <c r="B8" s="77" t="s">
        <v>35</v>
      </c>
      <c r="C8" s="49"/>
      <c r="D8" s="13">
        <f>'1.KPIs'!C13</f>
        <v>80</v>
      </c>
      <c r="E8" s="13">
        <f>'1.KPIs'!L13</f>
        <v>400</v>
      </c>
      <c r="F8" s="13">
        <f>'1.KPIs'!M13</f>
        <v>370</v>
      </c>
      <c r="G8" s="28">
        <f>IF(E8=0,0,F8/E8)</f>
        <v>0.92500000000000004</v>
      </c>
    </row>
    <row r="9" spans="1:7" ht="26.1" customHeight="1">
      <c r="A9" s="2"/>
      <c r="B9" s="77" t="s">
        <v>36</v>
      </c>
      <c r="C9" s="49"/>
      <c r="D9" s="13">
        <f>'2.Competency'!C28</f>
        <v>20</v>
      </c>
      <c r="E9" s="13">
        <f>'2.Competency'!E28</f>
        <v>100</v>
      </c>
      <c r="F9" s="13">
        <f>'2.Competency'!F28</f>
        <v>95</v>
      </c>
      <c r="G9" s="28">
        <f>IF(E9=0,0,F9/E9)</f>
        <v>0.95</v>
      </c>
    </row>
    <row r="10" spans="1:7" ht="27.95" customHeight="1">
      <c r="A10" s="2"/>
      <c r="B10" s="78" t="s">
        <v>37</v>
      </c>
      <c r="C10" s="79"/>
      <c r="D10" s="18">
        <f>SUM(D8:D9)</f>
        <v>100</v>
      </c>
      <c r="E10" s="18">
        <f>SUM(E8:E9)</f>
        <v>500</v>
      </c>
      <c r="F10" s="18">
        <f>SUM(F8:F9)</f>
        <v>465</v>
      </c>
      <c r="G10" s="29">
        <f>IF(E10=0,0,F10/E10)</f>
        <v>0.93</v>
      </c>
    </row>
    <row r="11" spans="1:7" ht="18">
      <c r="A11" s="2"/>
      <c r="B11" s="24"/>
      <c r="C11" s="5"/>
      <c r="D11" s="5"/>
      <c r="E11" s="5"/>
      <c r="F11" s="5"/>
      <c r="G11" s="25"/>
    </row>
    <row r="12" spans="1:7" ht="24" customHeight="1">
      <c r="A12" s="2"/>
      <c r="B12" s="80" t="s">
        <v>38</v>
      </c>
      <c r="C12" s="81"/>
      <c r="D12" s="71">
        <f>G10</f>
        <v>0.93</v>
      </c>
      <c r="E12" s="71"/>
      <c r="F12" s="72" t="str">
        <f>IF(G10&gt;0.95,"AA",IF(G10&gt;=0.85,"A+",IF(G10&gt;=0.7,"A",IF(G10&gt;=0.5,"B","C"))))</f>
        <v>A+</v>
      </c>
      <c r="G12" s="73"/>
    </row>
    <row r="13" spans="1:7" ht="24" customHeight="1">
      <c r="A13" s="2"/>
      <c r="B13" s="80"/>
      <c r="C13" s="81"/>
      <c r="D13" s="71"/>
      <c r="E13" s="71"/>
      <c r="F13" s="72"/>
      <c r="G13" s="73"/>
    </row>
    <row r="14" spans="1:7" ht="18">
      <c r="A14" s="2"/>
      <c r="B14" s="24"/>
      <c r="C14" s="5"/>
      <c r="D14" s="5"/>
      <c r="E14" s="5"/>
      <c r="F14" s="5"/>
      <c r="G14" s="25"/>
    </row>
    <row r="15" spans="1:7" ht="24" customHeight="1">
      <c r="A15" s="2"/>
      <c r="B15" s="74" t="s">
        <v>39</v>
      </c>
      <c r="C15" s="75"/>
      <c r="D15" s="75"/>
      <c r="E15" s="75"/>
      <c r="F15" s="75"/>
      <c r="G15" s="76"/>
    </row>
    <row r="16" spans="1:7" ht="18" customHeight="1">
      <c r="A16" s="2"/>
      <c r="B16" s="30" t="s">
        <v>40</v>
      </c>
      <c r="C16" s="23" t="s">
        <v>41</v>
      </c>
      <c r="D16" s="66" t="s">
        <v>42</v>
      </c>
      <c r="E16" s="66"/>
      <c r="F16" s="66"/>
      <c r="G16" s="67"/>
    </row>
    <row r="17" spans="1:7" ht="18" customHeight="1">
      <c r="A17" s="2"/>
      <c r="B17" s="31" t="s">
        <v>43</v>
      </c>
      <c r="C17" s="14" t="s">
        <v>44</v>
      </c>
      <c r="D17" s="55" t="s">
        <v>45</v>
      </c>
      <c r="E17" s="55"/>
      <c r="F17" s="55"/>
      <c r="G17" s="68"/>
    </row>
    <row r="18" spans="1:7" ht="18" customHeight="1">
      <c r="A18" s="2"/>
      <c r="B18" s="30" t="s">
        <v>46</v>
      </c>
      <c r="C18" s="23" t="s">
        <v>47</v>
      </c>
      <c r="D18" s="66" t="s">
        <v>48</v>
      </c>
      <c r="E18" s="66"/>
      <c r="F18" s="66"/>
      <c r="G18" s="67"/>
    </row>
    <row r="19" spans="1:7" ht="18" customHeight="1">
      <c r="A19" s="2"/>
      <c r="B19" s="31" t="s">
        <v>49</v>
      </c>
      <c r="C19" s="14" t="s">
        <v>50</v>
      </c>
      <c r="D19" s="55" t="s">
        <v>51</v>
      </c>
      <c r="E19" s="55"/>
      <c r="F19" s="55"/>
      <c r="G19" s="68"/>
    </row>
    <row r="20" spans="1:7" ht="18" customHeight="1">
      <c r="A20" s="2"/>
      <c r="B20" s="30" t="s">
        <v>52</v>
      </c>
      <c r="C20" s="23" t="s">
        <v>53</v>
      </c>
      <c r="D20" s="66" t="s">
        <v>54</v>
      </c>
      <c r="E20" s="66"/>
      <c r="F20" s="66"/>
      <c r="G20" s="67"/>
    </row>
    <row r="21" spans="1:7" ht="18">
      <c r="A21" s="2"/>
      <c r="B21" s="24"/>
      <c r="C21" s="5"/>
      <c r="D21" s="5"/>
      <c r="E21" s="5"/>
      <c r="F21" s="5"/>
      <c r="G21" s="25"/>
    </row>
    <row r="22" spans="1:7" ht="26.1" customHeight="1">
      <c r="A22" s="2"/>
      <c r="B22" s="69" t="s">
        <v>55</v>
      </c>
      <c r="C22" s="54"/>
      <c r="D22" s="54"/>
      <c r="E22" s="54"/>
      <c r="F22" s="54"/>
      <c r="G22" s="70"/>
    </row>
    <row r="23" spans="1:7" ht="21.95" customHeight="1">
      <c r="A23" s="2"/>
      <c r="B23" s="63" t="s">
        <v>56</v>
      </c>
      <c r="C23" s="64"/>
      <c r="D23" s="64"/>
      <c r="E23" s="64"/>
      <c r="F23" s="64"/>
      <c r="G23" s="65"/>
    </row>
    <row r="24" spans="1:7" ht="20.100000000000001" customHeight="1">
      <c r="A24" s="2"/>
      <c r="B24" s="60"/>
      <c r="C24" s="61"/>
      <c r="D24" s="61"/>
      <c r="E24" s="61"/>
      <c r="F24" s="61"/>
      <c r="G24" s="62"/>
    </row>
    <row r="25" spans="1:7" ht="20.100000000000001" customHeight="1">
      <c r="A25" s="2"/>
      <c r="B25" s="60"/>
      <c r="C25" s="61"/>
      <c r="D25" s="61"/>
      <c r="E25" s="61"/>
      <c r="F25" s="61"/>
      <c r="G25" s="62"/>
    </row>
    <row r="26" spans="1:7" ht="20.100000000000001" customHeight="1">
      <c r="A26" s="2"/>
      <c r="B26" s="60"/>
      <c r="C26" s="61"/>
      <c r="D26" s="61"/>
      <c r="E26" s="61"/>
      <c r="F26" s="61"/>
      <c r="G26" s="62"/>
    </row>
    <row r="27" spans="1:7" ht="21.95" customHeight="1">
      <c r="A27" s="2"/>
      <c r="B27" s="63" t="s">
        <v>57</v>
      </c>
      <c r="C27" s="64"/>
      <c r="D27" s="64"/>
      <c r="E27" s="64"/>
      <c r="F27" s="64"/>
      <c r="G27" s="65"/>
    </row>
    <row r="28" spans="1:7" ht="20.100000000000001" customHeight="1">
      <c r="A28" s="2"/>
      <c r="B28" s="60"/>
      <c r="C28" s="61"/>
      <c r="D28" s="61"/>
      <c r="E28" s="61"/>
      <c r="F28" s="61"/>
      <c r="G28" s="62"/>
    </row>
    <row r="29" spans="1:7" ht="20.100000000000001" customHeight="1">
      <c r="A29" s="2"/>
      <c r="B29" s="60"/>
      <c r="C29" s="61"/>
      <c r="D29" s="61"/>
      <c r="E29" s="61"/>
      <c r="F29" s="61"/>
      <c r="G29" s="62"/>
    </row>
    <row r="30" spans="1:7" ht="20.100000000000001" customHeight="1">
      <c r="A30" s="2"/>
      <c r="B30" s="60"/>
      <c r="C30" s="61"/>
      <c r="D30" s="61"/>
      <c r="E30" s="61"/>
      <c r="F30" s="61"/>
      <c r="G30" s="62"/>
    </row>
    <row r="31" spans="1:7" ht="21.95" customHeight="1">
      <c r="A31" s="2"/>
      <c r="B31" s="63" t="s">
        <v>58</v>
      </c>
      <c r="C31" s="64"/>
      <c r="D31" s="64"/>
      <c r="E31" s="64"/>
      <c r="F31" s="64"/>
      <c r="G31" s="65"/>
    </row>
    <row r="32" spans="1:7" ht="20.100000000000001" customHeight="1">
      <c r="A32" s="2"/>
      <c r="B32" s="60"/>
      <c r="C32" s="61"/>
      <c r="D32" s="61"/>
      <c r="E32" s="61"/>
      <c r="F32" s="61"/>
      <c r="G32" s="62"/>
    </row>
    <row r="33" spans="1:7" ht="20.100000000000001" customHeight="1">
      <c r="A33" s="2"/>
      <c r="B33" s="60"/>
      <c r="C33" s="61"/>
      <c r="D33" s="61"/>
      <c r="E33" s="61"/>
      <c r="F33" s="61"/>
      <c r="G33" s="62"/>
    </row>
    <row r="34" spans="1:7" ht="20.100000000000001" customHeight="1">
      <c r="A34" s="2"/>
      <c r="B34" s="60"/>
      <c r="C34" s="61"/>
      <c r="D34" s="61"/>
      <c r="E34" s="61"/>
      <c r="F34" s="61"/>
      <c r="G34" s="62"/>
    </row>
    <row r="35" spans="1:7" ht="21.95" customHeight="1">
      <c r="A35" s="2"/>
      <c r="B35" s="63" t="s">
        <v>59</v>
      </c>
      <c r="C35" s="64"/>
      <c r="D35" s="64"/>
      <c r="E35" s="64"/>
      <c r="F35" s="64"/>
      <c r="G35" s="65"/>
    </row>
    <row r="36" spans="1:7" ht="20.100000000000001" customHeight="1">
      <c r="A36" s="2"/>
      <c r="B36" s="60"/>
      <c r="C36" s="61"/>
      <c r="D36" s="61"/>
      <c r="E36" s="61"/>
      <c r="F36" s="61"/>
      <c r="G36" s="62"/>
    </row>
    <row r="37" spans="1:7" ht="20.100000000000001" customHeight="1">
      <c r="A37" s="2"/>
      <c r="B37" s="60"/>
      <c r="C37" s="61"/>
      <c r="D37" s="61"/>
      <c r="E37" s="61"/>
      <c r="F37" s="61"/>
      <c r="G37" s="62"/>
    </row>
    <row r="38" spans="1:7" ht="20.100000000000001" customHeight="1">
      <c r="A38" s="2"/>
      <c r="B38" s="60"/>
      <c r="C38" s="61"/>
      <c r="D38" s="61"/>
      <c r="E38" s="61"/>
      <c r="F38" s="61"/>
      <c r="G38" s="62"/>
    </row>
    <row r="39" spans="1:7" ht="18">
      <c r="A39" s="2"/>
      <c r="B39" s="24"/>
      <c r="C39" s="5"/>
      <c r="D39" s="5"/>
      <c r="E39" s="5"/>
      <c r="F39" s="5"/>
      <c r="G39" s="25"/>
    </row>
    <row r="40" spans="1:7" ht="39.950000000000003" customHeight="1">
      <c r="A40" s="2"/>
      <c r="B40" s="57" t="s">
        <v>60</v>
      </c>
      <c r="C40" s="58"/>
      <c r="D40" s="58"/>
      <c r="E40" s="58" t="s">
        <v>61</v>
      </c>
      <c r="F40" s="58"/>
      <c r="G40" s="59"/>
    </row>
    <row r="41" spans="1:7" ht="18" customHeight="1">
      <c r="A41" s="2"/>
      <c r="B41" s="57" t="s">
        <v>117</v>
      </c>
      <c r="C41" s="58"/>
      <c r="D41" s="58"/>
      <c r="E41" s="58" t="s">
        <v>118</v>
      </c>
      <c r="F41" s="58"/>
      <c r="G41" s="59"/>
    </row>
    <row r="42" spans="1:7" ht="18" customHeight="1">
      <c r="A42" s="2"/>
      <c r="B42" s="57" t="s">
        <v>62</v>
      </c>
      <c r="C42" s="58"/>
      <c r="D42" s="58"/>
      <c r="E42" s="58" t="s">
        <v>62</v>
      </c>
      <c r="F42" s="58"/>
      <c r="G42" s="59"/>
    </row>
    <row r="43" spans="1:7" ht="18">
      <c r="A43" s="2"/>
      <c r="B43" s="32"/>
      <c r="C43" s="33"/>
      <c r="D43" s="33"/>
      <c r="E43" s="33"/>
      <c r="F43" s="33"/>
      <c r="G43" s="34"/>
    </row>
  </sheetData>
  <mergeCells count="42">
    <mergeCell ref="B1:G1"/>
    <mergeCell ref="B2:G2"/>
    <mergeCell ref="C4:D4"/>
    <mergeCell ref="F4:G4"/>
    <mergeCell ref="C5:D5"/>
    <mergeCell ref="F5:G5"/>
    <mergeCell ref="B7:C7"/>
    <mergeCell ref="B8:C8"/>
    <mergeCell ref="B9:C9"/>
    <mergeCell ref="B10:C10"/>
    <mergeCell ref="B12:C13"/>
    <mergeCell ref="D12:E13"/>
    <mergeCell ref="F12:G13"/>
    <mergeCell ref="B15:G15"/>
    <mergeCell ref="D16:G16"/>
    <mergeCell ref="D17:G17"/>
    <mergeCell ref="D18:G18"/>
    <mergeCell ref="D19:G19"/>
    <mergeCell ref="D20:G20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40:D40"/>
    <mergeCell ref="E40:G40"/>
    <mergeCell ref="B41:D41"/>
    <mergeCell ref="E41:G41"/>
    <mergeCell ref="B42:D42"/>
    <mergeCell ref="E42:G42"/>
    <mergeCell ref="B38:G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1.KPIs</vt:lpstr>
      <vt:lpstr>2.Competency</vt:lpstr>
      <vt:lpstr>3.สรุปผลงานประจำปี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Narongwit Saentong</cp:lastModifiedBy>
  <dcterms:created xsi:type="dcterms:W3CDTF">2026-07-16T04:02:44Z</dcterms:created>
  <dcterms:modified xsi:type="dcterms:W3CDTF">2026-07-16T04:57:06Z</dcterms:modified>
</cp:coreProperties>
</file>